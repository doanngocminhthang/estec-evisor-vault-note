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00. PROJECTS\10. ESTEC-ECOSYSTEM\02. ESTEC-ECOSYSTEM-DOCS\form mẫu input chấm công\"/>
    </mc:Choice>
  </mc:AlternateContent>
  <xr:revisionPtr revIDLastSave="0" documentId="13_ncr:1_{E57FBD02-A37C-4450-8E1F-1729E9CF2196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27" i="51"/>
  <c r="I25" i="51"/>
  <c r="I34" i="51" s="1"/>
  <c r="I23" i="5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<sst xmlns="http://schemas.openxmlformats.org/spreadsheetml/2006/main" count="141" uniqueCount="91">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</sst>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N5" sqref="N5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102" t="s">
        <v>0</v>
      </c>
      <c r="D1" s="103"/>
      <c r="E1" s="103"/>
      <c r="F1" s="103"/>
      <c r="G1" s="103"/>
      <c r="H1" s="103"/>
      <c r="I1" s="103"/>
      <c r="J1" s="103"/>
      <c r="K1" s="103"/>
      <c r="L1" s="28"/>
      <c r="M1" s="2"/>
      <c r="N1" s="2"/>
      <c r="O1" s="2"/>
      <c r="P1" s="2" t="str">
        <f ca="1">CELL("filename")</f>
        <v>D:\ESTEC\00. PROJECTS\10. ESTEC-ECOSYSTEM\02. ESTEC-ECOSYSTEM-DOCS\form mẫu input chấm công\[Form mau 1 - Thiếu tên hợp đồng.xlsx]QLNL</v>
      </c>
      <c r="AC1"/>
      <c r="AD1"/>
    </row>
    <row r="2" spans="1:35" ht="26.25" customHeight="1" x14ac:dyDescent="0.2">
      <c r="A2" s="98"/>
      <c r="B2" s="98"/>
      <c r="C2" s="103"/>
      <c r="D2" s="103"/>
      <c r="E2" s="103"/>
      <c r="F2" s="103"/>
      <c r="G2" s="103"/>
      <c r="H2" s="103"/>
      <c r="I2" s="103"/>
      <c r="J2" s="103"/>
      <c r="K2" s="103"/>
      <c r="L2" s="19" t="s">
        <v>1</v>
      </c>
      <c r="M2" s="19" t="s">
        <v>89</v>
      </c>
      <c r="N2" s="19"/>
      <c r="O2" s="2"/>
      <c r="P2" s="2" t="str">
        <f ca="1">MID(P1,92,11)</f>
        <v xml:space="preserve">\[Form mau </v>
      </c>
    </row>
    <row r="3" spans="1:35" ht="26.25" customHeight="1" x14ac:dyDescent="0.2">
      <c r="A3" s="98"/>
      <c r="B3" s="98"/>
      <c r="C3" s="103"/>
      <c r="D3" s="103"/>
      <c r="E3" s="103"/>
      <c r="F3" s="103"/>
      <c r="G3" s="103"/>
      <c r="H3" s="103"/>
      <c r="I3" s="103"/>
      <c r="J3" s="103"/>
      <c r="K3" s="103"/>
      <c r="L3" s="19" t="s">
        <v>2</v>
      </c>
      <c r="M3" s="19" t="s">
        <v>87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90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4" t="s">
        <v>4</v>
      </c>
      <c r="D5" s="104"/>
      <c r="E5" s="108" t="s">
        <v>5</v>
      </c>
      <c r="F5" s="108"/>
      <c r="G5" s="108"/>
      <c r="H5" s="108"/>
      <c r="I5" s="108"/>
      <c r="J5" s="108"/>
      <c r="K5" s="108"/>
      <c r="L5" s="19" t="s">
        <v>6</v>
      </c>
      <c r="M5" s="19"/>
      <c r="N5" s="19"/>
      <c r="O5" s="15"/>
    </row>
    <row r="6" spans="1:35" ht="20.25" customHeight="1" x14ac:dyDescent="0.2">
      <c r="A6" s="13"/>
      <c r="B6" s="13"/>
      <c r="C6" s="105" t="s">
        <v>7</v>
      </c>
      <c r="D6" s="105"/>
      <c r="E6" s="105" t="s">
        <v>89</v>
      </c>
      <c r="F6" s="105"/>
      <c r="G6" s="105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8</v>
      </c>
      <c r="B7" s="33" t="s">
        <v>9</v>
      </c>
      <c r="C7" s="92" t="s">
        <v>10</v>
      </c>
      <c r="D7" s="90" t="s">
        <v>11</v>
      </c>
      <c r="E7" s="36" t="s">
        <v>12</v>
      </c>
      <c r="F7" s="106" t="s">
        <v>13</v>
      </c>
      <c r="G7" s="107"/>
      <c r="H7" s="107" t="s">
        <v>86</v>
      </c>
      <c r="I7" s="111" t="s">
        <v>14</v>
      </c>
      <c r="J7" s="35" t="s">
        <v>15</v>
      </c>
      <c r="K7" s="35" t="s">
        <v>16</v>
      </c>
      <c r="L7" s="37" t="s">
        <v>17</v>
      </c>
      <c r="M7" s="109" t="s">
        <v>18</v>
      </c>
      <c r="N7" s="109" t="s">
        <v>19</v>
      </c>
      <c r="O7" s="99" t="s">
        <v>20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21</v>
      </c>
      <c r="B8" s="24"/>
      <c r="C8" s="93"/>
      <c r="D8" s="91"/>
      <c r="E8" s="17"/>
      <c r="F8" s="30" t="s">
        <v>79</v>
      </c>
      <c r="G8" s="30" t="s">
        <v>80</v>
      </c>
      <c r="H8" s="113"/>
      <c r="I8" s="112"/>
      <c r="J8" s="31" t="s">
        <v>78</v>
      </c>
      <c r="K8" s="43"/>
      <c r="L8" s="43" t="e">
        <f>ROUNDUP((((L18*$P$18)+(L22*$P$22)+(#REF!*#REF!))/100),2)</f>
        <v>#REF!</v>
      </c>
      <c r="M8" s="110"/>
      <c r="N8" s="110"/>
      <c r="O8" s="100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22</v>
      </c>
      <c r="B9" s="47" t="s">
        <v>23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100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24</v>
      </c>
      <c r="B10" s="73" t="s">
        <v>25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100"/>
      <c r="P10" s="94"/>
      <c r="Q10" s="7"/>
      <c r="R10" s="7"/>
      <c r="S10" s="7"/>
      <c r="T10" s="8" t="s">
        <v>26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27</v>
      </c>
      <c r="B11" s="74" t="s">
        <v>28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100"/>
      <c r="P11" s="95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29</v>
      </c>
      <c r="B12" s="23" t="s">
        <v>30</v>
      </c>
      <c r="C12" s="38"/>
      <c r="D12" s="38" t="s">
        <v>76</v>
      </c>
      <c r="E12" s="71"/>
      <c r="F12" s="68">
        <v>45722</v>
      </c>
      <c r="G12" s="68">
        <v>45723</v>
      </c>
      <c r="H12" s="89" t="s">
        <v>85</v>
      </c>
      <c r="I12" s="22">
        <v>7</v>
      </c>
      <c r="J12" s="69" t="s">
        <v>78</v>
      </c>
      <c r="K12" s="29"/>
      <c r="L12" s="29"/>
      <c r="M12" s="66"/>
      <c r="N12" s="66" t="s">
        <v>88</v>
      </c>
      <c r="O12" s="100"/>
      <c r="P12" s="95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31</v>
      </c>
      <c r="B13" s="23" t="s">
        <v>32</v>
      </c>
      <c r="C13" s="38"/>
      <c r="D13" s="38" t="s">
        <v>76</v>
      </c>
      <c r="E13" s="71"/>
      <c r="F13" s="68">
        <v>45726</v>
      </c>
      <c r="G13" s="68">
        <v>45726</v>
      </c>
      <c r="H13" s="89" t="s">
        <v>84</v>
      </c>
      <c r="I13" s="22">
        <v>6</v>
      </c>
      <c r="J13" s="69" t="s">
        <v>78</v>
      </c>
      <c r="K13" s="29"/>
      <c r="L13" s="29"/>
      <c r="M13" s="66"/>
      <c r="N13" s="66"/>
      <c r="O13" s="100"/>
      <c r="P13" s="95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33</v>
      </c>
      <c r="B14" s="74" t="s">
        <v>34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100"/>
      <c r="P14" s="95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35</v>
      </c>
      <c r="B15" s="23" t="s">
        <v>36</v>
      </c>
      <c r="C15" s="38"/>
      <c r="D15" s="38" t="s">
        <v>77</v>
      </c>
      <c r="E15" s="71"/>
      <c r="F15" s="68">
        <f>G13+1</f>
        <v>45727</v>
      </c>
      <c r="G15" s="68">
        <v>45728</v>
      </c>
      <c r="H15" s="89" t="s">
        <v>85</v>
      </c>
      <c r="I15" s="22">
        <v>24</v>
      </c>
      <c r="J15" s="69" t="s">
        <v>78</v>
      </c>
      <c r="K15" s="29"/>
      <c r="L15" s="29"/>
      <c r="M15" s="66"/>
      <c r="N15" s="66"/>
      <c r="O15" s="100"/>
      <c r="P15" s="95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37</v>
      </c>
      <c r="B16" s="21" t="s">
        <v>38</v>
      </c>
      <c r="C16" s="38"/>
      <c r="D16" s="38" t="s">
        <v>77</v>
      </c>
      <c r="E16" s="72"/>
      <c r="F16" s="68">
        <v>45729</v>
      </c>
      <c r="G16" s="68">
        <v>45736</v>
      </c>
      <c r="H16" s="89" t="s">
        <v>84</v>
      </c>
      <c r="I16" s="22">
        <v>12</v>
      </c>
      <c r="J16" s="69" t="s">
        <v>78</v>
      </c>
      <c r="K16" s="29"/>
      <c r="L16" s="29"/>
      <c r="M16" s="66"/>
      <c r="N16" s="66"/>
      <c r="O16" s="100"/>
      <c r="P16" s="97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39</v>
      </c>
      <c r="B17" s="21" t="s">
        <v>40</v>
      </c>
      <c r="C17" s="38"/>
      <c r="D17" s="38" t="s">
        <v>77</v>
      </c>
      <c r="E17" s="18"/>
      <c r="F17" s="68">
        <v>45736</v>
      </c>
      <c r="G17" s="68">
        <v>45737</v>
      </c>
      <c r="H17" s="89" t="s">
        <v>85</v>
      </c>
      <c r="I17" s="22">
        <v>6</v>
      </c>
      <c r="J17" s="69" t="s">
        <v>78</v>
      </c>
      <c r="K17" s="29"/>
      <c r="L17" s="29"/>
      <c r="M17" s="66"/>
      <c r="N17" s="66"/>
      <c r="O17" s="100"/>
      <c r="P17" s="29"/>
      <c r="Q17" s="7"/>
      <c r="R17" s="7"/>
      <c r="S17" s="7"/>
      <c r="T17" s="8" t="s">
        <v>41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42</v>
      </c>
      <c r="B18" s="47" t="s">
        <v>43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101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44</v>
      </c>
      <c r="B19" s="73" t="s">
        <v>45</v>
      </c>
      <c r="C19" s="70"/>
      <c r="D19" s="38" t="s">
        <v>81</v>
      </c>
      <c r="E19" s="84"/>
      <c r="F19" s="82">
        <v>45738</v>
      </c>
      <c r="G19" s="82">
        <v>45740</v>
      </c>
      <c r="H19" s="88" t="s">
        <v>84</v>
      </c>
      <c r="I19" s="83">
        <v>16</v>
      </c>
      <c r="J19" s="69" t="s">
        <v>78</v>
      </c>
      <c r="K19" s="29"/>
      <c r="L19" s="29"/>
      <c r="M19" s="66"/>
      <c r="N19" s="66"/>
      <c r="O19" s="96" t="str">
        <f>IF(K19=100%,"Hoàn Thành",IF(K19=0," ","Đang Thực Hiện"))</f>
        <v xml:space="preserve"> </v>
      </c>
      <c r="P19" s="94"/>
      <c r="Q19" s="7"/>
      <c r="R19" s="7"/>
      <c r="S19" s="7"/>
      <c r="T19" s="8" t="s">
        <v>26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46</v>
      </c>
      <c r="B20" s="74" t="s">
        <v>47</v>
      </c>
      <c r="C20" s="71"/>
      <c r="D20" s="38" t="s">
        <v>82</v>
      </c>
      <c r="E20" s="85"/>
      <c r="F20" s="82">
        <v>45737</v>
      </c>
      <c r="G20" s="82">
        <v>45737</v>
      </c>
      <c r="H20" s="88" t="s">
        <v>85</v>
      </c>
      <c r="I20" s="83">
        <v>8</v>
      </c>
      <c r="J20" s="69" t="s">
        <v>78</v>
      </c>
      <c r="K20" s="29"/>
      <c r="L20" s="29"/>
      <c r="M20" s="66"/>
      <c r="N20" s="66"/>
      <c r="O20" s="96"/>
      <c r="P20" s="95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48</v>
      </c>
      <c r="B21" s="74" t="s">
        <v>49</v>
      </c>
      <c r="C21" s="71"/>
      <c r="D21" s="38" t="s">
        <v>81</v>
      </c>
      <c r="E21" s="71"/>
      <c r="F21" s="82">
        <v>45740</v>
      </c>
      <c r="G21" s="82">
        <v>45744</v>
      </c>
      <c r="H21" s="88" t="s">
        <v>84</v>
      </c>
      <c r="I21" s="83">
        <v>10</v>
      </c>
      <c r="J21" s="69" t="s">
        <v>78</v>
      </c>
      <c r="K21" s="29"/>
      <c r="L21" s="29"/>
      <c r="M21" s="66"/>
      <c r="N21" s="66"/>
      <c r="O21" s="96"/>
      <c r="P21" s="95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50</v>
      </c>
      <c r="B22" s="47" t="s">
        <v>51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52</v>
      </c>
      <c r="B23" s="23" t="s">
        <v>53</v>
      </c>
      <c r="C23" s="23"/>
      <c r="D23" s="38" t="s">
        <v>83</v>
      </c>
      <c r="E23" s="23"/>
      <c r="F23" s="68">
        <v>45760</v>
      </c>
      <c r="G23" s="68">
        <f>F23+I23</f>
        <v>45800</v>
      </c>
      <c r="H23" s="89" t="s">
        <v>85</v>
      </c>
      <c r="I23" s="67">
        <f>20*2</f>
        <v>40</v>
      </c>
      <c r="J23" s="69" t="s">
        <v>78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54</v>
      </c>
      <c r="B24" s="23" t="s">
        <v>55</v>
      </c>
      <c r="C24" s="23"/>
      <c r="D24" s="38" t="s">
        <v>83</v>
      </c>
      <c r="E24" s="23"/>
      <c r="F24" s="68">
        <f>G23+1</f>
        <v>45801</v>
      </c>
      <c r="G24" s="68">
        <f t="shared" ref="G24:G25" si="0">F24+I24</f>
        <v>45865</v>
      </c>
      <c r="H24" s="89" t="s">
        <v>85</v>
      </c>
      <c r="I24" s="67">
        <f>32*2</f>
        <v>64</v>
      </c>
      <c r="J24" s="69" t="s">
        <v>78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56</v>
      </c>
      <c r="B25" s="23" t="s">
        <v>57</v>
      </c>
      <c r="C25" s="23"/>
      <c r="D25" s="38" t="s">
        <v>83</v>
      </c>
      <c r="E25" s="23"/>
      <c r="F25" s="68">
        <f t="shared" ref="F25" si="1">G24+1</f>
        <v>45866</v>
      </c>
      <c r="G25" s="68">
        <f t="shared" si="0"/>
        <v>45898</v>
      </c>
      <c r="H25" s="89" t="s">
        <v>84</v>
      </c>
      <c r="I25" s="67">
        <f>16*2</f>
        <v>32</v>
      </c>
      <c r="J25" s="69" t="s">
        <v>78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58</v>
      </c>
      <c r="B26" s="47" t="s">
        <v>59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60</v>
      </c>
      <c r="B27" s="23" t="s">
        <v>61</v>
      </c>
      <c r="C27" s="61"/>
      <c r="D27" s="38" t="s">
        <v>83</v>
      </c>
      <c r="E27" s="62"/>
      <c r="F27" s="68">
        <v>45750</v>
      </c>
      <c r="G27" s="68">
        <f>F27+I27</f>
        <v>45792</v>
      </c>
      <c r="H27" s="89" t="s">
        <v>84</v>
      </c>
      <c r="I27" s="67">
        <f>6*7</f>
        <v>42</v>
      </c>
      <c r="J27" s="69" t="s">
        <v>78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62</v>
      </c>
      <c r="B28" s="23" t="s">
        <v>63</v>
      </c>
      <c r="C28" s="61"/>
      <c r="D28" s="38" t="s">
        <v>83</v>
      </c>
      <c r="E28" s="62"/>
      <c r="F28" s="68">
        <f>F27</f>
        <v>45750</v>
      </c>
      <c r="G28" s="68">
        <f>F28+I28</f>
        <v>45854</v>
      </c>
      <c r="H28" s="89" t="s">
        <v>84</v>
      </c>
      <c r="I28" s="67">
        <f>13*8</f>
        <v>104</v>
      </c>
      <c r="J28" s="69" t="s">
        <v>78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64</v>
      </c>
      <c r="B29" s="23" t="s">
        <v>65</v>
      </c>
      <c r="C29" s="61"/>
      <c r="D29" s="38" t="s">
        <v>83</v>
      </c>
      <c r="E29" s="62"/>
      <c r="F29" s="68">
        <f>F28</f>
        <v>45750</v>
      </c>
      <c r="G29" s="68">
        <f>F29+I29</f>
        <v>45763</v>
      </c>
      <c r="H29" s="89" t="s">
        <v>85</v>
      </c>
      <c r="I29" s="67">
        <v>13</v>
      </c>
      <c r="J29" s="69" t="s">
        <v>78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66</v>
      </c>
      <c r="B30" s="23" t="s">
        <v>67</v>
      </c>
      <c r="C30" s="61"/>
      <c r="D30" s="38" t="s">
        <v>83</v>
      </c>
      <c r="E30" s="62"/>
      <c r="F30" s="68">
        <f>G29-2</f>
        <v>45761</v>
      </c>
      <c r="G30" s="68">
        <f t="shared" ref="G30:G33" si="2">F30+I30</f>
        <v>45781</v>
      </c>
      <c r="H30" s="89" t="s">
        <v>84</v>
      </c>
      <c r="I30" s="67">
        <v>20</v>
      </c>
      <c r="J30" s="69" t="s">
        <v>78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68</v>
      </c>
      <c r="B31" s="23" t="s">
        <v>69</v>
      </c>
      <c r="C31" s="61"/>
      <c r="D31" s="38" t="s">
        <v>83</v>
      </c>
      <c r="E31" s="62"/>
      <c r="F31" s="68">
        <f>G30+1</f>
        <v>45782</v>
      </c>
      <c r="G31" s="68">
        <f t="shared" si="2"/>
        <v>45792</v>
      </c>
      <c r="H31" s="89" t="s">
        <v>85</v>
      </c>
      <c r="I31" s="67">
        <v>10</v>
      </c>
      <c r="J31" s="69" t="s">
        <v>78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70</v>
      </c>
      <c r="B32" s="23" t="s">
        <v>71</v>
      </c>
      <c r="C32" s="61"/>
      <c r="D32" s="38" t="s">
        <v>83</v>
      </c>
      <c r="E32" s="62"/>
      <c r="F32" s="68">
        <f>G30</f>
        <v>45781</v>
      </c>
      <c r="G32" s="68">
        <f t="shared" si="2"/>
        <v>45785</v>
      </c>
      <c r="H32" s="89" t="s">
        <v>85</v>
      </c>
      <c r="I32" s="67">
        <v>4</v>
      </c>
      <c r="J32" s="69" t="s">
        <v>78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72</v>
      </c>
      <c r="B33" s="23" t="s">
        <v>73</v>
      </c>
      <c r="C33" s="61"/>
      <c r="D33" s="38" t="s">
        <v>83</v>
      </c>
      <c r="E33" s="62"/>
      <c r="F33" s="68">
        <f>G32+1</f>
        <v>45786</v>
      </c>
      <c r="G33" s="68">
        <f t="shared" si="2"/>
        <v>45802</v>
      </c>
      <c r="H33" s="89" t="s">
        <v>85</v>
      </c>
      <c r="I33" s="67">
        <v>16</v>
      </c>
      <c r="J33" s="69" t="s">
        <v>78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74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75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78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  <mergeCell ref="D7:D8"/>
    <mergeCell ref="C7:C8"/>
    <mergeCell ref="P19:P21"/>
    <mergeCell ref="O19:O21"/>
    <mergeCell ref="P10:P16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2025-07-16T04:20:20Z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