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project\estec_evisor\estec_evisor_docs\form mẫu input chấm công\"/>
    </mc:Choice>
  </mc:AlternateContent>
  <xr:revisionPtr revIDLastSave="0" documentId="13_ncr:1_{95756B87-D449-459B-9194-95E0D34F05C0}" xr6:coauthVersionLast="47" xr6:coauthVersionMax="47" xr10:uidLastSave="{00000000-0000-0000-0000-000000000000}"/>
  <bookViews>
    <workbookView xWindow="2730" yWindow="2100" windowWidth="25350" windowHeight="1590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QLNL!$A$8:$W$34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QLNL!$A$1:$O$34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51" l="1"/>
  <c r="I28" i="51"/>
  <c r="I26" i="51"/>
  <c r="I24" i="51"/>
  <c r="I25" i="51"/>
  <c r="I35" i="51" l="1"/>
  <c r="F15" i="51"/>
  <c r="G24" i="51" l="1"/>
  <c r="F29" i="51"/>
  <c r="G28" i="51"/>
  <c r="G29" i="51" l="1"/>
  <c r="F25" i="51"/>
  <c r="F30" i="51"/>
  <c r="G30" i="51" l="1"/>
  <c r="F31" i="51" s="1"/>
  <c r="G31" i="51" s="1"/>
  <c r="F32" i="51" s="1"/>
  <c r="G32" i="51" s="1"/>
  <c r="G25" i="51"/>
  <c r="L35" i="51"/>
  <c r="F33" i="51" l="1"/>
  <c r="G33" i="51" s="1"/>
  <c r="F26" i="51"/>
  <c r="K35" i="51"/>
  <c r="O35" i="51" s="1"/>
  <c r="G26" i="51" l="1"/>
  <c r="F34" i="51"/>
  <c r="G34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<sst xmlns="http://schemas.openxmlformats.org/spreadsheetml/2006/main" count="148" uniqueCount="96">
  <si>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</si>
  <si>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</si>
  <si>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</si>
  <si>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</si>
  <si>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</si>
  <si>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</si>
  <si>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</si>
  <si>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</si>
  <si>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</si>
  <si>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</si>
  <si>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</si>
  <si>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</si>
  <si>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</si>
  <si>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</si>
  <si>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</si>
  <si>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</si>
  <si>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</si>
  <si>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</si>
  <si>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</si>
  <si>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</si>
  <si>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</si>
  <si>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</si>
  <si>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</si>
  <si>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</si>
  <si>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</si>
  <si>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</si>
  <si>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</si>
  <si>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</si>
  <si>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</si>
  <si>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</si>
  <si>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</si>
  <si>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</si>
  <si>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</si>
  <si>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</si>
  <si>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</si>
  <si>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</si>
  <si>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</si>
  <si>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</si>
  <si>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</si>
  <si>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</si>
  <si>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</si>
  <si>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</si>
  <si>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</si>
  <si>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</si>
  <si>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</si>
  <si>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</si>
  <si>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</si>
  <si>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</si>
  <si>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</si>
  <si>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</si>
  <si>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</si>
  <si>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</si>
  <si>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</si>
  <si>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</si>
  <si>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</si>
  <si>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</si>
  <si>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</si>
  <si>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</si>
  <si>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</si>
  <si>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</si>
  <si>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</si>
  <si>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</si>
  <si>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</si>
  <si>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</si>
  <si>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</si>
  <si>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</si>
  <si>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</si>
  <si>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</si>
  <si>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</si>
  <si>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</si>
  <si>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</si>
  <si>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</si>
  <si>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</si>
  <si>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</si>
  <si>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</si>
  <si>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</si>
  <si>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</si>
  <si>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</si>
  <si>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</si>
  <si>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</si>
  <si>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</si>
  <si>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</si>
  <si>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</si>
  <si>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</si>
  <si>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</si>
  <si>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</si>
  <si>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</si>
  <si>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</si>
  <si>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</si>
  <si>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</si>
  <si>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</si>
  <si>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</si>
  <si>
    <t xml:space="preserve">Lên BOQ 3 </t>
  </si>
  <si>
    <t>Nguyễn Văn B</t>
  </si>
  <si>
    <t>15/3/2025</t>
  </si>
  <si>
    <t>19/3/2025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</si>
</sst>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2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B7" sqref="B7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D:\estec\project\estec_evisor\estec_evisor_docs\form mẫu input chấm công\[Form mau 1 - themnhansu.xlsx]QLNL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>nhansu.xlsx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ROUNDUP((((L18*$P$18)+(L23*$P$23)+(#REF!*#REF!))/100),2)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/>
      <c r="B21" s="74" t="s">
        <v>92</v>
      </c>
      <c r="C21" s="71"/>
      <c r="D21" s="38" t="s">
        <v>93</v>
      </c>
      <c r="E21" s="85"/>
      <c r="F21" s="82" t="s">
        <v>94</v>
      </c>
      <c r="G21" s="82" t="s">
        <v>95</v>
      </c>
      <c r="H21" s="88" t="s">
        <v>85</v>
      </c>
      <c r="I21" s="83">
        <v>9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ht="18.75" customHeight="1" outlineLevel="1" x14ac:dyDescent="0.3">
      <c r="A22" s="65" t="s">
        <v>49</v>
      </c>
      <c r="B22" s="74" t="s">
        <v>50</v>
      </c>
      <c r="C22" s="71"/>
      <c r="D22" s="38" t="s">
        <v>82</v>
      </c>
      <c r="E22" s="71"/>
      <c r="F22" s="82">
        <v>45740</v>
      </c>
      <c r="G22" s="82">
        <v>45744</v>
      </c>
      <c r="H22" s="88" t="s">
        <v>85</v>
      </c>
      <c r="I22" s="83">
        <v>10</v>
      </c>
      <c r="J22" s="69" t="s">
        <v>79</v>
      </c>
      <c r="K22" s="29"/>
      <c r="L22" s="29"/>
      <c r="M22" s="66"/>
      <c r="N22" s="66"/>
      <c r="O22" s="92"/>
      <c r="P22" s="91"/>
      <c r="Q22" s="7"/>
      <c r="R22" s="7"/>
      <c r="S22" s="7"/>
      <c r="T22" s="8"/>
      <c r="U22" s="8"/>
      <c r="V22" s="8"/>
      <c r="W22" s="8"/>
      <c r="X22" s="8"/>
      <c r="Y22" s="8"/>
      <c r="Z22" s="8"/>
      <c r="AA22" s="8"/>
      <c r="AB22" s="8"/>
      <c r="AC22" s="42"/>
      <c r="AD22" s="42"/>
      <c r="AE22" s="8"/>
      <c r="AF22" s="8"/>
      <c r="AG22" s="8"/>
      <c r="AH22" s="8"/>
    </row>
    <row r="23" spans="1:35" s="80" customFormat="1" ht="23.45" customHeight="1" x14ac:dyDescent="0.25">
      <c r="A23" s="46" t="s">
        <v>51</v>
      </c>
      <c r="B23" s="47" t="s">
        <v>52</v>
      </c>
      <c r="C23" s="48"/>
      <c r="D23" s="49"/>
      <c r="E23" s="50"/>
      <c r="F23" s="51"/>
      <c r="G23" s="51"/>
      <c r="H23" s="87"/>
      <c r="I23" s="20"/>
      <c r="J23" s="31"/>
      <c r="K23" s="53"/>
      <c r="L23" s="53"/>
      <c r="M23" s="50"/>
      <c r="N23" s="50"/>
      <c r="O23" s="50"/>
      <c r="P23" s="54">
        <v>80</v>
      </c>
      <c r="Q23" s="54"/>
      <c r="R23" s="54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</row>
    <row r="24" spans="1:35" s="81" customFormat="1" ht="15" customHeight="1" outlineLevel="1" x14ac:dyDescent="0.2">
      <c r="A24" s="65" t="s">
        <v>53</v>
      </c>
      <c r="B24" s="23" t="s">
        <v>54</v>
      </c>
      <c r="C24" s="23"/>
      <c r="D24" s="38" t="s">
        <v>84</v>
      </c>
      <c r="E24" s="23"/>
      <c r="F24" s="68">
        <v>45760</v>
      </c>
      <c r="G24" s="68">
        <f>F24+I24</f>
        <v>45800</v>
      </c>
      <c r="H24" s="89" t="s">
        <v>86</v>
      </c>
      <c r="I24" s="67">
        <f>20*2</f>
        <v>40</v>
      </c>
      <c r="J24" s="69" t="s">
        <v>79</v>
      </c>
      <c r="K24" s="23"/>
      <c r="L24" s="23"/>
      <c r="M24" s="23"/>
      <c r="N24" s="23"/>
      <c r="O24" s="32"/>
      <c r="P24" s="54">
        <v>20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55</v>
      </c>
      <c r="B25" s="23" t="s">
        <v>56</v>
      </c>
      <c r="C25" s="23"/>
      <c r="D25" s="38" t="s">
        <v>84</v>
      </c>
      <c r="E25" s="23"/>
      <c r="F25" s="68">
        <f>G24+1</f>
        <v>45801</v>
      </c>
      <c r="G25" s="68">
        <f t="shared" ref="G25:G26" si="0">F25+I25</f>
        <v>45865</v>
      </c>
      <c r="H25" s="89" t="s">
        <v>86</v>
      </c>
      <c r="I25" s="67">
        <f>32*2</f>
        <v>64</v>
      </c>
      <c r="J25" s="69" t="s">
        <v>79</v>
      </c>
      <c r="K25" s="23"/>
      <c r="L25" s="23"/>
      <c r="M25" s="23"/>
      <c r="N25" s="23"/>
      <c r="O25" s="32"/>
      <c r="P25" s="54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s="81" customFormat="1" ht="15" customHeight="1" outlineLevel="1" x14ac:dyDescent="0.2">
      <c r="A26" s="65" t="s">
        <v>57</v>
      </c>
      <c r="B26" s="23" t="s">
        <v>58</v>
      </c>
      <c r="C26" s="23"/>
      <c r="D26" s="38" t="s">
        <v>84</v>
      </c>
      <c r="E26" s="23"/>
      <c r="F26" s="68">
        <f t="shared" ref="F26" si="1">G25+1</f>
        <v>45866</v>
      </c>
      <c r="G26" s="68">
        <f t="shared" si="0"/>
        <v>45898</v>
      </c>
      <c r="H26" s="89" t="s">
        <v>85</v>
      </c>
      <c r="I26" s="67">
        <f>16*2</f>
        <v>32</v>
      </c>
      <c r="J26" s="69" t="s">
        <v>79</v>
      </c>
      <c r="K26" s="23"/>
      <c r="L26" s="23"/>
      <c r="M26" s="23"/>
      <c r="N26" s="23"/>
      <c r="O26" s="32"/>
      <c r="P26" s="10">
        <v>10</v>
      </c>
      <c r="Q26" s="10"/>
      <c r="R26" s="10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1:35" ht="18" x14ac:dyDescent="0.2">
      <c r="A27" s="46" t="s">
        <v>59</v>
      </c>
      <c r="B27" s="47" t="s">
        <v>60</v>
      </c>
      <c r="C27" s="48"/>
      <c r="D27" s="49"/>
      <c r="E27" s="50"/>
      <c r="F27" s="51"/>
      <c r="G27" s="51"/>
      <c r="H27" s="87"/>
      <c r="I27" s="20"/>
      <c r="J27" s="31"/>
      <c r="K27" s="53"/>
      <c r="L27" s="53"/>
      <c r="M27" s="50"/>
      <c r="N27" s="50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61</v>
      </c>
      <c r="B28" s="23" t="s">
        <v>62</v>
      </c>
      <c r="C28" s="61"/>
      <c r="D28" s="38" t="s">
        <v>84</v>
      </c>
      <c r="E28" s="62"/>
      <c r="F28" s="68">
        <v>45750</v>
      </c>
      <c r="G28" s="68">
        <f>F28+I28</f>
        <v>45792</v>
      </c>
      <c r="H28" s="89" t="s">
        <v>85</v>
      </c>
      <c r="I28" s="67">
        <f>6*7</f>
        <v>42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63</v>
      </c>
      <c r="B29" s="23" t="s">
        <v>64</v>
      </c>
      <c r="C29" s="61"/>
      <c r="D29" s="38" t="s">
        <v>84</v>
      </c>
      <c r="E29" s="62"/>
      <c r="F29" s="68">
        <f>F28</f>
        <v>45750</v>
      </c>
      <c r="G29" s="68">
        <f>F29+I29</f>
        <v>45854</v>
      </c>
      <c r="H29" s="89" t="s">
        <v>85</v>
      </c>
      <c r="I29" s="67">
        <f>13*8</f>
        <v>104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65</v>
      </c>
      <c r="B30" s="23" t="s">
        <v>66</v>
      </c>
      <c r="C30" s="61"/>
      <c r="D30" s="38" t="s">
        <v>84</v>
      </c>
      <c r="E30" s="62"/>
      <c r="F30" s="68">
        <f>F29</f>
        <v>45750</v>
      </c>
      <c r="G30" s="68">
        <f>F30+I30</f>
        <v>45763</v>
      </c>
      <c r="H30" s="89" t="s">
        <v>86</v>
      </c>
      <c r="I30" s="67">
        <v>13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67</v>
      </c>
      <c r="B31" s="23" t="s">
        <v>68</v>
      </c>
      <c r="C31" s="61"/>
      <c r="D31" s="38" t="s">
        <v>84</v>
      </c>
      <c r="E31" s="62"/>
      <c r="F31" s="68">
        <f>G30-2</f>
        <v>45761</v>
      </c>
      <c r="G31" s="68">
        <f t="shared" ref="G31:G34" si="2">F31+I31</f>
        <v>45781</v>
      </c>
      <c r="H31" s="89" t="s">
        <v>85</v>
      </c>
      <c r="I31" s="67">
        <v>20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69</v>
      </c>
      <c r="B32" s="23" t="s">
        <v>70</v>
      </c>
      <c r="C32" s="61"/>
      <c r="D32" s="38" t="s">
        <v>84</v>
      </c>
      <c r="E32" s="62"/>
      <c r="F32" s="68">
        <f>G31+1</f>
        <v>45782</v>
      </c>
      <c r="G32" s="68">
        <f t="shared" si="2"/>
        <v>45792</v>
      </c>
      <c r="H32" s="89" t="s">
        <v>86</v>
      </c>
      <c r="I32" s="67">
        <v>10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71</v>
      </c>
      <c r="B33" s="23" t="s">
        <v>72</v>
      </c>
      <c r="C33" s="61"/>
      <c r="D33" s="38" t="s">
        <v>84</v>
      </c>
      <c r="E33" s="62"/>
      <c r="F33" s="68">
        <f>G31</f>
        <v>45781</v>
      </c>
      <c r="G33" s="68">
        <f t="shared" si="2"/>
        <v>45785</v>
      </c>
      <c r="H33" s="89" t="s">
        <v>86</v>
      </c>
      <c r="I33" s="67">
        <v>4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ht="18" outlineLevel="1" x14ac:dyDescent="0.2">
      <c r="A34" s="65" t="s">
        <v>73</v>
      </c>
      <c r="B34" s="23" t="s">
        <v>74</v>
      </c>
      <c r="C34" s="61"/>
      <c r="D34" s="38" t="s">
        <v>84</v>
      </c>
      <c r="E34" s="62"/>
      <c r="F34" s="68">
        <f>G33+1</f>
        <v>45786</v>
      </c>
      <c r="G34" s="68">
        <f t="shared" si="2"/>
        <v>45802</v>
      </c>
      <c r="H34" s="89" t="s">
        <v>86</v>
      </c>
      <c r="I34" s="67">
        <v>16</v>
      </c>
      <c r="J34" s="69" t="s">
        <v>79</v>
      </c>
      <c r="K34" s="63"/>
      <c r="L34" s="63"/>
      <c r="M34" s="64"/>
      <c r="N34" s="64"/>
      <c r="O34" s="18"/>
      <c r="P34" s="44"/>
      <c r="Q34" s="45"/>
      <c r="R34" s="45"/>
      <c r="AC34" s="2"/>
      <c r="AD34" s="2"/>
    </row>
    <row r="35" spans="1:35" s="80" customFormat="1" ht="18" x14ac:dyDescent="0.25">
      <c r="A35" s="46" t="s">
        <v>75</v>
      </c>
      <c r="B35" s="47"/>
      <c r="C35" s="48"/>
      <c r="D35" s="49"/>
      <c r="E35" s="50"/>
      <c r="F35" s="46"/>
      <c r="G35" s="51"/>
      <c r="H35" s="87"/>
      <c r="I35" s="46">
        <f>SUM(I10:I34)</f>
        <v>443</v>
      </c>
      <c r="J35" s="52"/>
      <c r="K35" s="53">
        <f>SUM(K36*$P36+K37*$P37+K38*$P38+K39*$P39+K40*$P40)/100</f>
        <v>0</v>
      </c>
      <c r="L35" s="53">
        <f>SUM(L36*$P36+L37*$P37+L38*$P38+L39*$P39+L40*$P40)/100</f>
        <v>0</v>
      </c>
      <c r="M35" s="50"/>
      <c r="N35" s="52" t="s">
        <v>76</v>
      </c>
      <c r="O35" s="50" t="str">
        <f t="shared" ref="O35" si="3">IF(K35=100%,"Hoàn Thành",IF(K35=0," ","Đang Thực Hiện"))</f>
        <v xml:space="preserve"> </v>
      </c>
      <c r="P35" s="54">
        <v>15</v>
      </c>
      <c r="Q35" s="54"/>
      <c r="R35" s="54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</row>
    <row r="36" spans="1:35" ht="18" x14ac:dyDescent="0.2">
      <c r="J36" s="52" t="s">
        <v>79</v>
      </c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  <row r="42" spans="1:35" x14ac:dyDescent="0.2">
      <c r="AC42" s="2"/>
      <c r="AD42" s="2"/>
    </row>
  </sheetData>
  <mergeCells count="18">
    <mergeCell ref="D7:D8"/>
    <mergeCell ref="C7:C8"/>
    <mergeCell ref="P19:P22"/>
    <mergeCell ref="O19:O22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30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3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7:K29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1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2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3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4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5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30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3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7:L29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1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2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3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4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5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4"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</conditionalFormatting>
  <conditionalFormatting sqref="P25"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</conditionalFormatting>
  <conditionalFormatting sqref="P8:R8"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3:R23 Q24:R24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6:R26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</conditionalFormatting>
  <conditionalFormatting sqref="P35:R35"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</conditionalFormatting>
  <conditionalFormatting sqref="Q25:R25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6:C1048576" xr:uid="{00000000-0002-0000-0000-000000000000}">
      <formula1>$T$19:$T$22</formula1>
    </dataValidation>
    <dataValidation type="list" allowBlank="1" showInputMessage="1" showErrorMessage="1" sqref="O23:O24" xr:uid="{00000000-0002-0000-0000-000001000000}">
      <formula1>$S$18:$S$22</formula1>
    </dataValidation>
    <dataValidation type="list" allowBlank="1" showInputMessage="1" showErrorMessage="1" sqref="C18 C9 C23:C35" xr:uid="{00000000-0002-0000-0000-000002000000}">
      <formula1>$W$18:$W$22</formula1>
    </dataValidation>
    <dataValidation type="list" allowBlank="1" showInputMessage="1" showErrorMessage="1" sqref="O36:O1048576" xr:uid="{00000000-0002-0000-0000-000003000000}">
      <formula1>$P$19:$P$22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3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K30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K27:K29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L30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L27:L29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P23:R23 Q24:R24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P26:R26</xm:sqref>
        </x14:conditionalFormatting>
        <x14:conditionalFormatting xmlns:xm="http://schemas.microsoft.com/office/excel/2006/main"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P35:R35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Q25:R25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2025-09-05T04:30:21Z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